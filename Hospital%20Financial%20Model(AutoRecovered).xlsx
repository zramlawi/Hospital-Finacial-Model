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ramlawi/Library/Application Support/"/>
    </mc:Choice>
  </mc:AlternateContent>
  <xr:revisionPtr revIDLastSave="0" documentId="8_{A9245F4B-23DF-3E4E-8895-874B2E0E8F3E}" xr6:coauthVersionLast="47" xr6:coauthVersionMax="47" xr10:uidLastSave="{00000000-0000-0000-0000-000000000000}"/>
  <bookViews>
    <workbookView xWindow="380" yWindow="600" windowWidth="28040" windowHeight="16140" activeTab="7" xr2:uid="{B51F77EF-B2A9-7641-8AFC-98871C9F80D9}"/>
  </bookViews>
  <sheets>
    <sheet name="Assumptions" sheetId="1" r:id="rId1"/>
    <sheet name="Sources Used" sheetId="2" r:id="rId2"/>
    <sheet name="Revenue" sheetId="3" r:id="rId3"/>
    <sheet name="Operating Cost" sheetId="4" r:id="rId4"/>
    <sheet name="Cash Flow" sheetId="6" r:id="rId5"/>
    <sheet name="Debt Schedule" sheetId="5" r:id="rId6"/>
    <sheet name="DSCR" sheetId="7" r:id="rId7"/>
    <sheet name="Scenarios 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2" i="8"/>
  <c r="B2" i="6"/>
  <c r="C2" i="6" s="1"/>
  <c r="C2" i="7" s="1"/>
  <c r="B2" i="5"/>
  <c r="C2" i="4"/>
  <c r="D6" i="4"/>
  <c r="B6" i="6" s="1"/>
  <c r="C6" i="6" s="1"/>
  <c r="C6" i="7" s="1"/>
  <c r="D7" i="4"/>
  <c r="C7" i="4" s="1"/>
  <c r="D8" i="4"/>
  <c r="B8" i="6" s="1"/>
  <c r="C8" i="6" s="1"/>
  <c r="C8" i="7" s="1"/>
  <c r="D9" i="4"/>
  <c r="C9" i="4" s="1"/>
  <c r="D10" i="4"/>
  <c r="B10" i="6" s="1"/>
  <c r="C10" i="6" s="1"/>
  <c r="C10" i="7" s="1"/>
  <c r="D14" i="4"/>
  <c r="B14" i="6" s="1"/>
  <c r="C14" i="6" s="1"/>
  <c r="C14" i="7" s="1"/>
  <c r="D15" i="4"/>
  <c r="B15" i="6" s="1"/>
  <c r="C15" i="6" s="1"/>
  <c r="C15" i="7" s="1"/>
  <c r="D16" i="4"/>
  <c r="C16" i="4" s="1"/>
  <c r="D17" i="4"/>
  <c r="B17" i="6" s="1"/>
  <c r="C17" i="6" s="1"/>
  <c r="C17" i="7" s="1"/>
  <c r="D18" i="4"/>
  <c r="B18" i="6" s="1"/>
  <c r="C18" i="6" s="1"/>
  <c r="C18" i="7" s="1"/>
  <c r="D22" i="4"/>
  <c r="B22" i="6" s="1"/>
  <c r="C22" i="6" s="1"/>
  <c r="C22" i="7" s="1"/>
  <c r="D23" i="4"/>
  <c r="B23" i="6" s="1"/>
  <c r="C23" i="6" s="1"/>
  <c r="C23" i="7" s="1"/>
  <c r="D24" i="4"/>
  <c r="C24" i="4" s="1"/>
  <c r="D25" i="4"/>
  <c r="C25" i="4" s="1"/>
  <c r="D26" i="4"/>
  <c r="C26" i="4" s="1"/>
  <c r="D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" i="4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E2" i="5" l="1"/>
  <c r="B3" i="5" s="1"/>
  <c r="C18" i="4"/>
  <c r="C8" i="4"/>
  <c r="C15" i="4"/>
  <c r="B25" i="6"/>
  <c r="C25" i="6" s="1"/>
  <c r="C25" i="7" s="1"/>
  <c r="B9" i="6"/>
  <c r="C9" i="6" s="1"/>
  <c r="C9" i="7" s="1"/>
  <c r="C2" i="5"/>
  <c r="D21" i="4"/>
  <c r="B21" i="6" s="1"/>
  <c r="C21" i="6" s="1"/>
  <c r="C21" i="7" s="1"/>
  <c r="D13" i="4"/>
  <c r="B13" i="6" s="1"/>
  <c r="C13" i="6" s="1"/>
  <c r="C13" i="7" s="1"/>
  <c r="D5" i="4"/>
  <c r="B5" i="6" s="1"/>
  <c r="C5" i="6" s="1"/>
  <c r="C5" i="7" s="1"/>
  <c r="C22" i="4"/>
  <c r="C14" i="4"/>
  <c r="C6" i="4"/>
  <c r="B24" i="6"/>
  <c r="C24" i="6" s="1"/>
  <c r="C24" i="7" s="1"/>
  <c r="B16" i="6"/>
  <c r="C16" i="6" s="1"/>
  <c r="C16" i="7" s="1"/>
  <c r="D2" i="5"/>
  <c r="B26" i="6"/>
  <c r="C26" i="6" s="1"/>
  <c r="C26" i="7" s="1"/>
  <c r="C23" i="4"/>
  <c r="D20" i="4"/>
  <c r="B20" i="6" s="1"/>
  <c r="C20" i="6" s="1"/>
  <c r="C20" i="7" s="1"/>
  <c r="D12" i="4"/>
  <c r="B12" i="6" s="1"/>
  <c r="C12" i="6" s="1"/>
  <c r="C12" i="7" s="1"/>
  <c r="D4" i="4"/>
  <c r="B4" i="6" s="1"/>
  <c r="C4" i="6" s="1"/>
  <c r="C4" i="7" s="1"/>
  <c r="C21" i="4"/>
  <c r="B7" i="6"/>
  <c r="C7" i="6" s="1"/>
  <c r="C7" i="7" s="1"/>
  <c r="C10" i="4"/>
  <c r="C17" i="4"/>
  <c r="D19" i="4"/>
  <c r="D11" i="4"/>
  <c r="D3" i="4"/>
  <c r="B3" i="6" l="1"/>
  <c r="C3" i="6" s="1"/>
  <c r="C3" i="7" s="1"/>
  <c r="C3" i="4"/>
  <c r="B11" i="6"/>
  <c r="C11" i="6" s="1"/>
  <c r="C11" i="7" s="1"/>
  <c r="C11" i="4"/>
  <c r="B19" i="6"/>
  <c r="C19" i="6" s="1"/>
  <c r="C19" i="7" s="1"/>
  <c r="C19" i="4"/>
  <c r="C4" i="4"/>
  <c r="C5" i="4"/>
  <c r="D3" i="5"/>
  <c r="B3" i="7" s="1"/>
  <c r="E3" i="5"/>
  <c r="B4" i="5" s="1"/>
  <c r="C12" i="4"/>
  <c r="C20" i="4"/>
  <c r="C13" i="4"/>
  <c r="B2" i="7"/>
  <c r="D2" i="7" s="1"/>
  <c r="D4" i="5" l="1"/>
  <c r="B4" i="7" s="1"/>
  <c r="D4" i="7" s="1"/>
  <c r="E4" i="5"/>
  <c r="B5" i="5" s="1"/>
  <c r="D3" i="7"/>
  <c r="D5" i="5" l="1"/>
  <c r="B5" i="7" s="1"/>
  <c r="D5" i="7" s="1"/>
  <c r="E5" i="5"/>
  <c r="B6" i="5" s="1"/>
  <c r="E6" i="5" l="1"/>
  <c r="B7" i="5" s="1"/>
  <c r="D6" i="5"/>
  <c r="B6" i="7" s="1"/>
  <c r="D6" i="7" s="1"/>
  <c r="D7" i="5" l="1"/>
  <c r="B7" i="7" s="1"/>
  <c r="D7" i="7" s="1"/>
  <c r="E7" i="5"/>
  <c r="B8" i="5" s="1"/>
  <c r="D8" i="5" l="1"/>
  <c r="B8" i="7" s="1"/>
  <c r="D8" i="7" s="1"/>
  <c r="E8" i="5"/>
  <c r="B9" i="5" s="1"/>
  <c r="D9" i="5" l="1"/>
  <c r="B9" i="7" s="1"/>
  <c r="D9" i="7" s="1"/>
  <c r="E9" i="5"/>
  <c r="B10" i="5" s="1"/>
  <c r="E10" i="5" l="1"/>
  <c r="B11" i="5" s="1"/>
  <c r="D10" i="5"/>
  <c r="B10" i="7" s="1"/>
  <c r="D10" i="7" s="1"/>
  <c r="D11" i="5" l="1"/>
  <c r="B11" i="7" s="1"/>
  <c r="D11" i="7" s="1"/>
  <c r="E11" i="5"/>
  <c r="B12" i="5" s="1"/>
  <c r="D12" i="5" l="1"/>
  <c r="B12" i="7" s="1"/>
  <c r="D12" i="7" s="1"/>
  <c r="E12" i="5"/>
  <c r="B13" i="5" s="1"/>
  <c r="D13" i="5" l="1"/>
  <c r="B13" i="7" s="1"/>
  <c r="D13" i="7" s="1"/>
  <c r="E13" i="5"/>
  <c r="B14" i="5" s="1"/>
  <c r="E14" i="5" l="1"/>
  <c r="B15" i="5" s="1"/>
  <c r="D14" i="5"/>
  <c r="B14" i="7" s="1"/>
  <c r="D14" i="7" s="1"/>
  <c r="E15" i="5" l="1"/>
  <c r="B16" i="5" s="1"/>
  <c r="D15" i="5"/>
  <c r="B15" i="7" s="1"/>
  <c r="D15" i="7" s="1"/>
  <c r="D16" i="5" l="1"/>
  <c r="B16" i="7" s="1"/>
  <c r="D16" i="7" s="1"/>
  <c r="E16" i="5"/>
  <c r="B17" i="5" s="1"/>
  <c r="D17" i="5" l="1"/>
  <c r="B17" i="7" s="1"/>
  <c r="D17" i="7" s="1"/>
  <c r="E17" i="5"/>
  <c r="B18" i="5" s="1"/>
  <c r="E18" i="5" l="1"/>
  <c r="B19" i="5" s="1"/>
  <c r="D18" i="5"/>
  <c r="B18" i="7" s="1"/>
  <c r="D18" i="7" s="1"/>
  <c r="D19" i="5" l="1"/>
  <c r="B19" i="7" s="1"/>
  <c r="D19" i="7" s="1"/>
  <c r="E19" i="5"/>
  <c r="B20" i="5" s="1"/>
  <c r="D20" i="5" l="1"/>
  <c r="B20" i="7" s="1"/>
  <c r="D20" i="7" s="1"/>
  <c r="E20" i="5"/>
  <c r="B21" i="5" s="1"/>
  <c r="E21" i="5" l="1"/>
  <c r="B22" i="5" s="1"/>
  <c r="D21" i="5"/>
  <c r="B21" i="7" s="1"/>
  <c r="D21" i="7" s="1"/>
  <c r="D22" i="5" l="1"/>
  <c r="B22" i="7" s="1"/>
  <c r="D22" i="7" s="1"/>
  <c r="E22" i="5"/>
  <c r="B23" i="5" s="1"/>
  <c r="D23" i="5" l="1"/>
  <c r="B23" i="7" s="1"/>
  <c r="D23" i="7" s="1"/>
  <c r="E23" i="5"/>
  <c r="B24" i="5" s="1"/>
  <c r="D24" i="5" l="1"/>
  <c r="B24" i="7" s="1"/>
  <c r="D24" i="7" s="1"/>
  <c r="E24" i="5"/>
  <c r="B25" i="5" s="1"/>
  <c r="D25" i="5" l="1"/>
  <c r="B25" i="7" s="1"/>
  <c r="D25" i="7" s="1"/>
  <c r="E25" i="5"/>
  <c r="B26" i="5" s="1"/>
  <c r="D26" i="5" l="1"/>
  <c r="B26" i="7" s="1"/>
  <c r="D26" i="7" s="1"/>
  <c r="E26" i="5"/>
</calcChain>
</file>

<file path=xl/sharedStrings.xml><?xml version="1.0" encoding="utf-8"?>
<sst xmlns="http://schemas.openxmlformats.org/spreadsheetml/2006/main" count="53" uniqueCount="36">
  <si>
    <t>Assumption</t>
  </si>
  <si>
    <t>Value</t>
  </si>
  <si>
    <t>Beds</t>
  </si>
  <si>
    <t>Occupancy</t>
  </si>
  <si>
    <t>Days per Year</t>
  </si>
  <si>
    <t>Revenue per Bed Day</t>
  </si>
  <si>
    <t>Revenue Growth</t>
  </si>
  <si>
    <t>Operating Margin</t>
  </si>
  <si>
    <t>Debt Amount</t>
  </si>
  <si>
    <t>Debt Rate</t>
  </si>
  <si>
    <t>Debt Term</t>
  </si>
  <si>
    <t>Amount</t>
  </si>
  <si>
    <t>Debt</t>
  </si>
  <si>
    <t>Equity</t>
  </si>
  <si>
    <t>Total</t>
  </si>
  <si>
    <t>Uses</t>
  </si>
  <si>
    <t>Construction</t>
  </si>
  <si>
    <t>Fees</t>
  </si>
  <si>
    <t>Contingency</t>
  </si>
  <si>
    <t>Sources</t>
  </si>
  <si>
    <t>Year</t>
  </si>
  <si>
    <t>Revenue</t>
  </si>
  <si>
    <t>Expense</t>
  </si>
  <si>
    <t>EBITDA</t>
  </si>
  <si>
    <t>Beginning Debt</t>
  </si>
  <si>
    <t>Principal</t>
  </si>
  <si>
    <t>Interest</t>
  </si>
  <si>
    <t>Ending Debt</t>
  </si>
  <si>
    <t>CFADS</t>
  </si>
  <si>
    <t>DSCR</t>
  </si>
  <si>
    <t>Debt Services</t>
  </si>
  <si>
    <t>Downside</t>
  </si>
  <si>
    <t>Base</t>
  </si>
  <si>
    <t>Upside</t>
  </si>
  <si>
    <t>Selected Scenario</t>
  </si>
  <si>
    <t>Selected Assumptiosn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</si>
</sst>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"/>
    </font>
    <font>
      <sz val="12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0" applyNumberFormat="1" applyFont="1"/>
    <xf numFmtId="10" fontId="3" fillId="0" borderId="0" xfId="0" applyNumberFormat="1" applyFont="1"/>
    <xf numFmtId="3" fontId="3" fillId="0" borderId="0" xfId="0" applyNumberFormat="1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AA55-954D-7B4D-B139-DAB055346C2F}">
  <dimension ref="A1:B10"/>
  <sheetViews>
    <sheetView workbookViewId="0">
      <selection activeCell="B14" sqref="B14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300</v>
      </c>
    </row>
    <row r="3" spans="1:2" x14ac:dyDescent="0.2">
      <c r="A3" s="2" t="s">
        <v>3</v>
      </c>
      <c r="B3" s="3">
        <v>0.78</v>
      </c>
    </row>
    <row r="4" spans="1:2" x14ac:dyDescent="0.2">
      <c r="A4" s="2" t="s">
        <v>4</v>
      </c>
      <c r="B4" s="2">
        <v>365</v>
      </c>
    </row>
    <row r="5" spans="1:2" x14ac:dyDescent="0.2">
      <c r="A5" s="2" t="s">
        <v>5</v>
      </c>
      <c r="B5" s="2">
        <v>1100</v>
      </c>
    </row>
    <row r="6" spans="1:2" x14ac:dyDescent="0.2">
      <c r="A6" s="2" t="s">
        <v>6</v>
      </c>
      <c r="B6" s="3">
        <v>0.03</v>
      </c>
    </row>
    <row r="7" spans="1:2" x14ac:dyDescent="0.2">
      <c r="A7" s="2" t="s">
        <v>7</v>
      </c>
      <c r="B7" s="3">
        <v>0.18</v>
      </c>
    </row>
    <row r="8" spans="1:2" x14ac:dyDescent="0.2">
      <c r="A8" s="2" t="s">
        <v>8</v>
      </c>
      <c r="B8" s="2">
        <v>140000000</v>
      </c>
    </row>
    <row r="9" spans="1:2" x14ac:dyDescent="0.2">
      <c r="A9" s="2" t="s">
        <v>9</v>
      </c>
      <c r="B9" s="4">
        <v>5.2499999999999998E-2</v>
      </c>
    </row>
    <row r="10" spans="1:2" x14ac:dyDescent="0.2">
      <c r="A10" s="2" t="s">
        <v>10</v>
      </c>
      <c r="B10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8FA6-1278-A942-BF8D-23D0432F899E}">
  <dimension ref="A1:B9"/>
  <sheetViews>
    <sheetView workbookViewId="0">
      <selection activeCell="A10" sqref="A10"/>
    </sheetView>
  </sheetViews>
  <sheetFormatPr baseColWidth="10" defaultRowHeight="16" x14ac:dyDescent="0.2"/>
  <cols>
    <col min="1" max="1" width="16" customWidth="1"/>
  </cols>
  <sheetData>
    <row r="1" spans="1:2" x14ac:dyDescent="0.2">
      <c r="A1" s="1" t="s">
        <v>19</v>
      </c>
      <c r="B1" s="1" t="s">
        <v>11</v>
      </c>
    </row>
    <row r="2" spans="1:2" x14ac:dyDescent="0.2">
      <c r="A2" s="2" t="s">
        <v>12</v>
      </c>
      <c r="B2" s="5">
        <v>140000000</v>
      </c>
    </row>
    <row r="3" spans="1:2" x14ac:dyDescent="0.2">
      <c r="A3" s="2" t="s">
        <v>13</v>
      </c>
      <c r="B3" s="5">
        <v>60000000</v>
      </c>
    </row>
    <row r="4" spans="1:2" x14ac:dyDescent="0.2">
      <c r="A4" s="2" t="s">
        <v>14</v>
      </c>
      <c r="B4" s="5">
        <v>200000000</v>
      </c>
    </row>
    <row r="5" spans="1:2" x14ac:dyDescent="0.2">
      <c r="A5" s="1" t="s">
        <v>15</v>
      </c>
      <c r="B5" s="1" t="s">
        <v>11</v>
      </c>
    </row>
    <row r="6" spans="1:2" x14ac:dyDescent="0.2">
      <c r="A6" s="2" t="s">
        <v>16</v>
      </c>
      <c r="B6" s="5">
        <v>180000000</v>
      </c>
    </row>
    <row r="7" spans="1:2" x14ac:dyDescent="0.2">
      <c r="A7" s="2" t="s">
        <v>17</v>
      </c>
      <c r="B7" s="5">
        <v>10000000</v>
      </c>
    </row>
    <row r="8" spans="1:2" x14ac:dyDescent="0.2">
      <c r="A8" s="2" t="s">
        <v>18</v>
      </c>
      <c r="B8" s="5">
        <v>10000000</v>
      </c>
    </row>
    <row r="9" spans="1:2" x14ac:dyDescent="0.2">
      <c r="A9" s="2" t="s">
        <v>14</v>
      </c>
      <c r="B9" s="5">
        <v>200000000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6F98-A385-6F46-9624-513F96E1B430}">
  <dimension ref="A1:B26"/>
  <sheetViews>
    <sheetView workbookViewId="0">
      <selection sqref="A1:B1"/>
    </sheetView>
  </sheetViews>
  <sheetFormatPr baseColWidth="10" defaultRowHeight="16" x14ac:dyDescent="0.2"/>
  <cols>
    <col min="2" max="2" width="12.1640625" bestFit="1" customWidth="1"/>
  </cols>
  <sheetData>
    <row r="1" spans="1:2" x14ac:dyDescent="0.2">
      <c r="A1" s="6" t="s">
        <v>20</v>
      </c>
      <c r="B1" s="6" t="s">
        <v>21</v>
      </c>
    </row>
    <row r="2" spans="1:2" x14ac:dyDescent="0.2">
      <c r="A2">
        <v>1</v>
      </c>
      <c r="B2">
        <f>Assumptions!B2*0.78*Assumptions!B4*Assumptions!B5</f>
        <v>93951000</v>
      </c>
    </row>
    <row r="3" spans="1:2" x14ac:dyDescent="0.2">
      <c r="A3">
        <v>2</v>
      </c>
      <c r="B3">
        <f>B2*1.03</f>
        <v>96769530</v>
      </c>
    </row>
    <row r="4" spans="1:2" x14ac:dyDescent="0.2">
      <c r="A4">
        <v>3</v>
      </c>
      <c r="B4">
        <f t="shared" ref="B4:B26" si="0">B3*1.03</f>
        <v>99672615.900000006</v>
      </c>
    </row>
    <row r="5" spans="1:2" x14ac:dyDescent="0.2">
      <c r="A5">
        <v>4</v>
      </c>
      <c r="B5">
        <f t="shared" si="0"/>
        <v>102662794.377</v>
      </c>
    </row>
    <row r="6" spans="1:2" x14ac:dyDescent="0.2">
      <c r="A6">
        <v>5</v>
      </c>
      <c r="B6">
        <f t="shared" si="0"/>
        <v>105742678.20831001</v>
      </c>
    </row>
    <row r="7" spans="1:2" x14ac:dyDescent="0.2">
      <c r="A7">
        <v>6</v>
      </c>
      <c r="B7">
        <f t="shared" si="0"/>
        <v>108914958.55455931</v>
      </c>
    </row>
    <row r="8" spans="1:2" x14ac:dyDescent="0.2">
      <c r="A8">
        <v>7</v>
      </c>
      <c r="B8">
        <f t="shared" si="0"/>
        <v>112182407.31119609</v>
      </c>
    </row>
    <row r="9" spans="1:2" x14ac:dyDescent="0.2">
      <c r="A9">
        <v>8</v>
      </c>
      <c r="B9">
        <f t="shared" si="0"/>
        <v>115547879.53053197</v>
      </c>
    </row>
    <row r="10" spans="1:2" x14ac:dyDescent="0.2">
      <c r="A10">
        <v>9</v>
      </c>
      <c r="B10">
        <f t="shared" si="0"/>
        <v>119014315.91644794</v>
      </c>
    </row>
    <row r="11" spans="1:2" x14ac:dyDescent="0.2">
      <c r="A11">
        <v>10</v>
      </c>
      <c r="B11">
        <f t="shared" si="0"/>
        <v>122584745.39394137</v>
      </c>
    </row>
    <row r="12" spans="1:2" x14ac:dyDescent="0.2">
      <c r="A12">
        <v>11</v>
      </c>
      <c r="B12">
        <f t="shared" si="0"/>
        <v>126262287.75575961</v>
      </c>
    </row>
    <row r="13" spans="1:2" x14ac:dyDescent="0.2">
      <c r="A13">
        <v>12</v>
      </c>
      <c r="B13">
        <f t="shared" si="0"/>
        <v>130050156.3884324</v>
      </c>
    </row>
    <row r="14" spans="1:2" x14ac:dyDescent="0.2">
      <c r="A14">
        <v>13</v>
      </c>
      <c r="B14">
        <f t="shared" si="0"/>
        <v>133951661.08008537</v>
      </c>
    </row>
    <row r="15" spans="1:2" x14ac:dyDescent="0.2">
      <c r="A15">
        <v>14</v>
      </c>
      <c r="B15">
        <f t="shared" si="0"/>
        <v>137970210.91248792</v>
      </c>
    </row>
    <row r="16" spans="1:2" x14ac:dyDescent="0.2">
      <c r="A16">
        <v>15</v>
      </c>
      <c r="B16">
        <f t="shared" si="0"/>
        <v>142109317.23986256</v>
      </c>
    </row>
    <row r="17" spans="1:2" x14ac:dyDescent="0.2">
      <c r="A17">
        <v>16</v>
      </c>
      <c r="B17">
        <f t="shared" si="0"/>
        <v>146372596.75705844</v>
      </c>
    </row>
    <row r="18" spans="1:2" x14ac:dyDescent="0.2">
      <c r="A18">
        <v>17</v>
      </c>
      <c r="B18">
        <f t="shared" si="0"/>
        <v>150763774.65977019</v>
      </c>
    </row>
    <row r="19" spans="1:2" x14ac:dyDescent="0.2">
      <c r="A19">
        <v>18</v>
      </c>
      <c r="B19">
        <f t="shared" si="0"/>
        <v>155286687.89956331</v>
      </c>
    </row>
    <row r="20" spans="1:2" x14ac:dyDescent="0.2">
      <c r="A20">
        <v>19</v>
      </c>
      <c r="B20">
        <f t="shared" si="0"/>
        <v>159945288.53655022</v>
      </c>
    </row>
    <row r="21" spans="1:2" x14ac:dyDescent="0.2">
      <c r="A21">
        <v>20</v>
      </c>
      <c r="B21">
        <f t="shared" si="0"/>
        <v>164743647.19264674</v>
      </c>
    </row>
    <row r="22" spans="1:2" x14ac:dyDescent="0.2">
      <c r="A22">
        <v>21</v>
      </c>
      <c r="B22">
        <f t="shared" si="0"/>
        <v>169685956.60842615</v>
      </c>
    </row>
    <row r="23" spans="1:2" x14ac:dyDescent="0.2">
      <c r="A23">
        <v>22</v>
      </c>
      <c r="B23">
        <f t="shared" si="0"/>
        <v>174776535.30667895</v>
      </c>
    </row>
    <row r="24" spans="1:2" x14ac:dyDescent="0.2">
      <c r="A24">
        <v>23</v>
      </c>
      <c r="B24">
        <f t="shared" si="0"/>
        <v>180019831.36587933</v>
      </c>
    </row>
    <row r="25" spans="1:2" x14ac:dyDescent="0.2">
      <c r="A25">
        <v>24</v>
      </c>
      <c r="B25">
        <f t="shared" si="0"/>
        <v>185420426.30685571</v>
      </c>
    </row>
    <row r="26" spans="1:2" x14ac:dyDescent="0.2">
      <c r="A26">
        <v>25</v>
      </c>
      <c r="B26">
        <f t="shared" si="0"/>
        <v>190983039.09606138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2689-C00A-6441-8A9C-BBEF518F9BAB}">
  <dimension ref="A1:D26"/>
  <sheetViews>
    <sheetView workbookViewId="0">
      <selection sqref="A1:D1"/>
    </sheetView>
  </sheetViews>
  <sheetFormatPr baseColWidth="10" defaultRowHeight="16" x14ac:dyDescent="0.2"/>
  <cols>
    <col min="2" max="2" width="15" customWidth="1"/>
    <col min="3" max="3" width="10.83203125" customWidth="1"/>
  </cols>
  <sheetData>
    <row r="1" spans="1:4" x14ac:dyDescent="0.2">
      <c r="A1" s="6" t="s">
        <v>20</v>
      </c>
      <c r="B1" s="6" t="s">
        <v>21</v>
      </c>
      <c r="C1" s="6" t="s">
        <v>22</v>
      </c>
      <c r="D1" s="6" t="s">
        <v>23</v>
      </c>
    </row>
    <row r="2" spans="1:4" x14ac:dyDescent="0.2">
      <c r="A2">
        <v>1</v>
      </c>
      <c r="B2">
        <f>Assumptions!B2*0.78*Assumptions!B4*Assumptions!B5</f>
        <v>93951000</v>
      </c>
      <c r="C2">
        <f>B2-D2</f>
        <v>77039820</v>
      </c>
      <c r="D2">
        <f>B2*0.18</f>
        <v>16911180</v>
      </c>
    </row>
    <row r="3" spans="1:4" x14ac:dyDescent="0.2">
      <c r="A3">
        <v>2</v>
      </c>
      <c r="B3">
        <f>B2*1.03</f>
        <v>96769530</v>
      </c>
      <c r="C3">
        <f t="shared" ref="C3:C26" si="0">B3-D3</f>
        <v>79351014.599999994</v>
      </c>
      <c r="D3">
        <f t="shared" ref="D3:D26" si="1">B3*0.18</f>
        <v>17418515.399999999</v>
      </c>
    </row>
    <row r="4" spans="1:4" x14ac:dyDescent="0.2">
      <c r="A4">
        <v>3</v>
      </c>
      <c r="B4">
        <f t="shared" ref="B4:B26" si="2">B3*1.03</f>
        <v>99672615.900000006</v>
      </c>
      <c r="C4">
        <f t="shared" si="0"/>
        <v>81731545.038000003</v>
      </c>
      <c r="D4">
        <f t="shared" si="1"/>
        <v>17941070.862</v>
      </c>
    </row>
    <row r="5" spans="1:4" x14ac:dyDescent="0.2">
      <c r="A5">
        <v>4</v>
      </c>
      <c r="B5">
        <f t="shared" si="2"/>
        <v>102662794.377</v>
      </c>
      <c r="C5">
        <f t="shared" si="0"/>
        <v>84183491.38914001</v>
      </c>
      <c r="D5">
        <f t="shared" si="1"/>
        <v>18479302.987860002</v>
      </c>
    </row>
    <row r="6" spans="1:4" x14ac:dyDescent="0.2">
      <c r="A6">
        <v>5</v>
      </c>
      <c r="B6">
        <f t="shared" si="2"/>
        <v>105742678.20831001</v>
      </c>
      <c r="C6">
        <f t="shared" si="0"/>
        <v>86708996.13081421</v>
      </c>
      <c r="D6">
        <f t="shared" si="1"/>
        <v>19033682.077495802</v>
      </c>
    </row>
    <row r="7" spans="1:4" x14ac:dyDescent="0.2">
      <c r="A7">
        <v>6</v>
      </c>
      <c r="B7">
        <f t="shared" si="2"/>
        <v>108914958.55455931</v>
      </c>
      <c r="C7">
        <f t="shared" si="0"/>
        <v>89310266.014738634</v>
      </c>
      <c r="D7">
        <f t="shared" si="1"/>
        <v>19604692.539820675</v>
      </c>
    </row>
    <row r="8" spans="1:4" x14ac:dyDescent="0.2">
      <c r="A8">
        <v>7</v>
      </c>
      <c r="B8">
        <f t="shared" si="2"/>
        <v>112182407.31119609</v>
      </c>
      <c r="C8">
        <f t="shared" si="0"/>
        <v>91989573.995180786</v>
      </c>
      <c r="D8">
        <f t="shared" si="1"/>
        <v>20192833.316015296</v>
      </c>
    </row>
    <row r="9" spans="1:4" x14ac:dyDescent="0.2">
      <c r="A9">
        <v>8</v>
      </c>
      <c r="B9">
        <f t="shared" si="2"/>
        <v>115547879.53053197</v>
      </c>
      <c r="C9">
        <f t="shared" si="0"/>
        <v>94749261.215036213</v>
      </c>
      <c r="D9">
        <f t="shared" si="1"/>
        <v>20798618.315495756</v>
      </c>
    </row>
    <row r="10" spans="1:4" x14ac:dyDescent="0.2">
      <c r="A10">
        <v>9</v>
      </c>
      <c r="B10">
        <f t="shared" si="2"/>
        <v>119014315.91644794</v>
      </c>
      <c r="C10">
        <f t="shared" si="0"/>
        <v>97591739.051487312</v>
      </c>
      <c r="D10">
        <f t="shared" si="1"/>
        <v>21422576.864960629</v>
      </c>
    </row>
    <row r="11" spans="1:4" x14ac:dyDescent="0.2">
      <c r="A11">
        <v>10</v>
      </c>
      <c r="B11">
        <f t="shared" si="2"/>
        <v>122584745.39394137</v>
      </c>
      <c r="C11">
        <f t="shared" si="0"/>
        <v>100519491.22303192</v>
      </c>
      <c r="D11">
        <f t="shared" si="1"/>
        <v>22065254.170909446</v>
      </c>
    </row>
    <row r="12" spans="1:4" x14ac:dyDescent="0.2">
      <c r="A12">
        <v>11</v>
      </c>
      <c r="B12">
        <f t="shared" si="2"/>
        <v>126262287.75575961</v>
      </c>
      <c r="C12">
        <f t="shared" si="0"/>
        <v>103535075.95972288</v>
      </c>
      <c r="D12">
        <f t="shared" si="1"/>
        <v>22727211.796036728</v>
      </c>
    </row>
    <row r="13" spans="1:4" x14ac:dyDescent="0.2">
      <c r="A13">
        <v>12</v>
      </c>
      <c r="B13">
        <f t="shared" si="2"/>
        <v>130050156.3884324</v>
      </c>
      <c r="C13">
        <f t="shared" si="0"/>
        <v>106641128.23851457</v>
      </c>
      <c r="D13">
        <f t="shared" si="1"/>
        <v>23409028.14991783</v>
      </c>
    </row>
    <row r="14" spans="1:4" x14ac:dyDescent="0.2">
      <c r="A14">
        <v>13</v>
      </c>
      <c r="B14">
        <f t="shared" si="2"/>
        <v>133951661.08008537</v>
      </c>
      <c r="C14">
        <f t="shared" si="0"/>
        <v>109840362.08566999</v>
      </c>
      <c r="D14">
        <f t="shared" si="1"/>
        <v>24111298.994415365</v>
      </c>
    </row>
    <row r="15" spans="1:4" x14ac:dyDescent="0.2">
      <c r="A15">
        <v>14</v>
      </c>
      <c r="B15">
        <f t="shared" si="2"/>
        <v>137970210.91248792</v>
      </c>
      <c r="C15">
        <f t="shared" si="0"/>
        <v>113135572.9482401</v>
      </c>
      <c r="D15">
        <f t="shared" si="1"/>
        <v>24834637.964247826</v>
      </c>
    </row>
    <row r="16" spans="1:4" x14ac:dyDescent="0.2">
      <c r="A16">
        <v>15</v>
      </c>
      <c r="B16">
        <f t="shared" si="2"/>
        <v>142109317.23986256</v>
      </c>
      <c r="C16">
        <f t="shared" si="0"/>
        <v>116529640.13668731</v>
      </c>
      <c r="D16">
        <f t="shared" si="1"/>
        <v>25579677.10317526</v>
      </c>
    </row>
    <row r="17" spans="1:4" x14ac:dyDescent="0.2">
      <c r="A17">
        <v>16</v>
      </c>
      <c r="B17">
        <f t="shared" si="2"/>
        <v>146372596.75705844</v>
      </c>
      <c r="C17">
        <f t="shared" si="0"/>
        <v>120025529.34078792</v>
      </c>
      <c r="D17">
        <f t="shared" si="1"/>
        <v>26347067.416270517</v>
      </c>
    </row>
    <row r="18" spans="1:4" x14ac:dyDescent="0.2">
      <c r="A18">
        <v>17</v>
      </c>
      <c r="B18">
        <f t="shared" si="2"/>
        <v>150763774.65977019</v>
      </c>
      <c r="C18">
        <f t="shared" si="0"/>
        <v>123626295.22101155</v>
      </c>
      <c r="D18">
        <f t="shared" si="1"/>
        <v>27137479.438758634</v>
      </c>
    </row>
    <row r="19" spans="1:4" x14ac:dyDescent="0.2">
      <c r="A19">
        <v>18</v>
      </c>
      <c r="B19">
        <f t="shared" si="2"/>
        <v>155286687.89956331</v>
      </c>
      <c r="C19">
        <f t="shared" si="0"/>
        <v>127335084.07764192</v>
      </c>
      <c r="D19">
        <f t="shared" si="1"/>
        <v>27951603.821921397</v>
      </c>
    </row>
    <row r="20" spans="1:4" x14ac:dyDescent="0.2">
      <c r="A20">
        <v>19</v>
      </c>
      <c r="B20">
        <f t="shared" si="2"/>
        <v>159945288.53655022</v>
      </c>
      <c r="C20">
        <f t="shared" si="0"/>
        <v>131155136.59997119</v>
      </c>
      <c r="D20">
        <f t="shared" si="1"/>
        <v>28790151.936579037</v>
      </c>
    </row>
    <row r="21" spans="1:4" x14ac:dyDescent="0.2">
      <c r="A21">
        <v>20</v>
      </c>
      <c r="B21">
        <f t="shared" si="2"/>
        <v>164743647.19264674</v>
      </c>
      <c r="C21">
        <f t="shared" si="0"/>
        <v>135089790.69797033</v>
      </c>
      <c r="D21">
        <f t="shared" si="1"/>
        <v>29653856.494676411</v>
      </c>
    </row>
    <row r="22" spans="1:4" x14ac:dyDescent="0.2">
      <c r="A22">
        <v>21</v>
      </c>
      <c r="B22">
        <f t="shared" si="2"/>
        <v>169685956.60842615</v>
      </c>
      <c r="C22">
        <f t="shared" si="0"/>
        <v>139142484.41890943</v>
      </c>
      <c r="D22">
        <f t="shared" si="1"/>
        <v>30543472.189516708</v>
      </c>
    </row>
    <row r="23" spans="1:4" x14ac:dyDescent="0.2">
      <c r="A23">
        <v>22</v>
      </c>
      <c r="B23">
        <f t="shared" si="2"/>
        <v>174776535.30667895</v>
      </c>
      <c r="C23">
        <f t="shared" si="0"/>
        <v>143316758.95147675</v>
      </c>
      <c r="D23">
        <f t="shared" si="1"/>
        <v>31459776.355202209</v>
      </c>
    </row>
    <row r="24" spans="1:4" x14ac:dyDescent="0.2">
      <c r="A24">
        <v>23</v>
      </c>
      <c r="B24">
        <f t="shared" si="2"/>
        <v>180019831.36587933</v>
      </c>
      <c r="C24">
        <f t="shared" si="0"/>
        <v>147616261.72002104</v>
      </c>
      <c r="D24">
        <f t="shared" si="1"/>
        <v>32403569.645858277</v>
      </c>
    </row>
    <row r="25" spans="1:4" x14ac:dyDescent="0.2">
      <c r="A25">
        <v>24</v>
      </c>
      <c r="B25">
        <f t="shared" si="2"/>
        <v>185420426.30685571</v>
      </c>
      <c r="C25">
        <f t="shared" si="0"/>
        <v>152044749.57162169</v>
      </c>
      <c r="D25">
        <f t="shared" si="1"/>
        <v>33375676.735234026</v>
      </c>
    </row>
    <row r="26" spans="1:4" x14ac:dyDescent="0.2">
      <c r="A26">
        <v>25</v>
      </c>
      <c r="B26">
        <f t="shared" si="2"/>
        <v>190983039.09606138</v>
      </c>
      <c r="C26">
        <f t="shared" si="0"/>
        <v>156606092.05877033</v>
      </c>
      <c r="D26">
        <f t="shared" si="1"/>
        <v>34376947.03729105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539E-E046-A745-9C6E-EC1B99509E4C}">
  <dimension ref="A1:C26"/>
  <sheetViews>
    <sheetView workbookViewId="0">
      <selection activeCell="G20" sqref="G20"/>
    </sheetView>
  </sheetViews>
  <sheetFormatPr baseColWidth="10" defaultRowHeight="16" x14ac:dyDescent="0.2"/>
  <sheetData>
    <row r="1" spans="1:3" x14ac:dyDescent="0.2">
      <c r="A1" t="s">
        <v>20</v>
      </c>
      <c r="B1" t="s">
        <v>23</v>
      </c>
      <c r="C1" t="s">
        <v>28</v>
      </c>
    </row>
    <row r="2" spans="1:3" x14ac:dyDescent="0.2">
      <c r="A2">
        <v>1</v>
      </c>
      <c r="B2">
        <f>'Operating Cost'!D2</f>
        <v>16911180</v>
      </c>
      <c r="C2">
        <f>B2</f>
        <v>16911180</v>
      </c>
    </row>
    <row r="3" spans="1:3" x14ac:dyDescent="0.2">
      <c r="A3">
        <v>2</v>
      </c>
      <c r="B3">
        <f>'Operating Cost'!D3</f>
        <v>17418515.399999999</v>
      </c>
      <c r="C3">
        <f t="shared" ref="C3:C26" si="0">B3</f>
        <v>17418515.399999999</v>
      </c>
    </row>
    <row r="4" spans="1:3" x14ac:dyDescent="0.2">
      <c r="A4">
        <v>3</v>
      </c>
      <c r="B4">
        <f>'Operating Cost'!D4</f>
        <v>17941070.862</v>
      </c>
      <c r="C4">
        <f t="shared" si="0"/>
        <v>17941070.862</v>
      </c>
    </row>
    <row r="5" spans="1:3" x14ac:dyDescent="0.2">
      <c r="A5">
        <v>4</v>
      </c>
      <c r="B5">
        <f>'Operating Cost'!D5</f>
        <v>18479302.987860002</v>
      </c>
      <c r="C5">
        <f t="shared" si="0"/>
        <v>18479302.987860002</v>
      </c>
    </row>
    <row r="6" spans="1:3" x14ac:dyDescent="0.2">
      <c r="A6">
        <v>5</v>
      </c>
      <c r="B6">
        <f>'Operating Cost'!D6</f>
        <v>19033682.077495802</v>
      </c>
      <c r="C6">
        <f t="shared" si="0"/>
        <v>19033682.077495802</v>
      </c>
    </row>
    <row r="7" spans="1:3" x14ac:dyDescent="0.2">
      <c r="A7">
        <v>6</v>
      </c>
      <c r="B7">
        <f>'Operating Cost'!D7</f>
        <v>19604692.539820675</v>
      </c>
      <c r="C7">
        <f t="shared" si="0"/>
        <v>19604692.539820675</v>
      </c>
    </row>
    <row r="8" spans="1:3" x14ac:dyDescent="0.2">
      <c r="A8">
        <v>7</v>
      </c>
      <c r="B8">
        <f>'Operating Cost'!D8</f>
        <v>20192833.316015296</v>
      </c>
      <c r="C8">
        <f t="shared" si="0"/>
        <v>20192833.316015296</v>
      </c>
    </row>
    <row r="9" spans="1:3" x14ac:dyDescent="0.2">
      <c r="A9">
        <v>8</v>
      </c>
      <c r="B9">
        <f>'Operating Cost'!D9</f>
        <v>20798618.315495756</v>
      </c>
      <c r="C9">
        <f t="shared" si="0"/>
        <v>20798618.315495756</v>
      </c>
    </row>
    <row r="10" spans="1:3" x14ac:dyDescent="0.2">
      <c r="A10">
        <v>9</v>
      </c>
      <c r="B10">
        <f>'Operating Cost'!D10</f>
        <v>21422576.864960629</v>
      </c>
      <c r="C10">
        <f t="shared" si="0"/>
        <v>21422576.864960629</v>
      </c>
    </row>
    <row r="11" spans="1:3" x14ac:dyDescent="0.2">
      <c r="A11">
        <v>10</v>
      </c>
      <c r="B11">
        <f>'Operating Cost'!D11</f>
        <v>22065254.170909446</v>
      </c>
      <c r="C11">
        <f t="shared" si="0"/>
        <v>22065254.170909446</v>
      </c>
    </row>
    <row r="12" spans="1:3" x14ac:dyDescent="0.2">
      <c r="A12">
        <v>11</v>
      </c>
      <c r="B12">
        <f>'Operating Cost'!D12</f>
        <v>22727211.796036728</v>
      </c>
      <c r="C12">
        <f t="shared" si="0"/>
        <v>22727211.796036728</v>
      </c>
    </row>
    <row r="13" spans="1:3" x14ac:dyDescent="0.2">
      <c r="A13">
        <v>12</v>
      </c>
      <c r="B13">
        <f>'Operating Cost'!D13</f>
        <v>23409028.14991783</v>
      </c>
      <c r="C13">
        <f t="shared" si="0"/>
        <v>23409028.14991783</v>
      </c>
    </row>
    <row r="14" spans="1:3" x14ac:dyDescent="0.2">
      <c r="A14">
        <v>13</v>
      </c>
      <c r="B14">
        <f>'Operating Cost'!D14</f>
        <v>24111298.994415365</v>
      </c>
      <c r="C14">
        <f t="shared" si="0"/>
        <v>24111298.994415365</v>
      </c>
    </row>
    <row r="15" spans="1:3" x14ac:dyDescent="0.2">
      <c r="A15">
        <v>14</v>
      </c>
      <c r="B15">
        <f>'Operating Cost'!D15</f>
        <v>24834637.964247826</v>
      </c>
      <c r="C15">
        <f t="shared" si="0"/>
        <v>24834637.964247826</v>
      </c>
    </row>
    <row r="16" spans="1:3" x14ac:dyDescent="0.2">
      <c r="A16">
        <v>15</v>
      </c>
      <c r="B16">
        <f>'Operating Cost'!D16</f>
        <v>25579677.10317526</v>
      </c>
      <c r="C16">
        <f t="shared" si="0"/>
        <v>25579677.10317526</v>
      </c>
    </row>
    <row r="17" spans="1:3" x14ac:dyDescent="0.2">
      <c r="A17">
        <v>16</v>
      </c>
      <c r="B17">
        <f>'Operating Cost'!D17</f>
        <v>26347067.416270517</v>
      </c>
      <c r="C17">
        <f t="shared" si="0"/>
        <v>26347067.416270517</v>
      </c>
    </row>
    <row r="18" spans="1:3" x14ac:dyDescent="0.2">
      <c r="A18">
        <v>17</v>
      </c>
      <c r="B18">
        <f>'Operating Cost'!D18</f>
        <v>27137479.438758634</v>
      </c>
      <c r="C18">
        <f t="shared" si="0"/>
        <v>27137479.438758634</v>
      </c>
    </row>
    <row r="19" spans="1:3" x14ac:dyDescent="0.2">
      <c r="A19">
        <v>18</v>
      </c>
      <c r="B19">
        <f>'Operating Cost'!D19</f>
        <v>27951603.821921397</v>
      </c>
      <c r="C19">
        <f t="shared" si="0"/>
        <v>27951603.821921397</v>
      </c>
    </row>
    <row r="20" spans="1:3" x14ac:dyDescent="0.2">
      <c r="A20">
        <v>19</v>
      </c>
      <c r="B20">
        <f>'Operating Cost'!D20</f>
        <v>28790151.936579037</v>
      </c>
      <c r="C20">
        <f t="shared" si="0"/>
        <v>28790151.936579037</v>
      </c>
    </row>
    <row r="21" spans="1:3" x14ac:dyDescent="0.2">
      <c r="A21">
        <v>20</v>
      </c>
      <c r="B21">
        <f>'Operating Cost'!D21</f>
        <v>29653856.494676411</v>
      </c>
      <c r="C21">
        <f t="shared" si="0"/>
        <v>29653856.494676411</v>
      </c>
    </row>
    <row r="22" spans="1:3" x14ac:dyDescent="0.2">
      <c r="A22">
        <v>21</v>
      </c>
      <c r="B22">
        <f>'Operating Cost'!D22</f>
        <v>30543472.189516708</v>
      </c>
      <c r="C22">
        <f t="shared" si="0"/>
        <v>30543472.189516708</v>
      </c>
    </row>
    <row r="23" spans="1:3" x14ac:dyDescent="0.2">
      <c r="A23">
        <v>22</v>
      </c>
      <c r="B23">
        <f>'Operating Cost'!D23</f>
        <v>31459776.355202209</v>
      </c>
      <c r="C23">
        <f t="shared" si="0"/>
        <v>31459776.355202209</v>
      </c>
    </row>
    <row r="24" spans="1:3" x14ac:dyDescent="0.2">
      <c r="A24">
        <v>23</v>
      </c>
      <c r="B24">
        <f>'Operating Cost'!D24</f>
        <v>32403569.645858277</v>
      </c>
      <c r="C24">
        <f t="shared" si="0"/>
        <v>32403569.645858277</v>
      </c>
    </row>
    <row r="25" spans="1:3" x14ac:dyDescent="0.2">
      <c r="A25">
        <v>24</v>
      </c>
      <c r="B25">
        <f>'Operating Cost'!D25</f>
        <v>33375676.735234026</v>
      </c>
      <c r="C25">
        <f t="shared" si="0"/>
        <v>33375676.735234026</v>
      </c>
    </row>
    <row r="26" spans="1:3" x14ac:dyDescent="0.2">
      <c r="A26">
        <v>25</v>
      </c>
      <c r="B26">
        <f>'Operating Cost'!D26</f>
        <v>34376947.03729105</v>
      </c>
      <c r="C26">
        <f t="shared" si="0"/>
        <v>34376947.03729105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7077-3E18-9D48-8549-15EBDB236642}">
  <dimension ref="A1:E26"/>
  <sheetViews>
    <sheetView workbookViewId="0">
      <selection activeCell="E26" sqref="E26"/>
    </sheetView>
  </sheetViews>
  <sheetFormatPr baseColWidth="10" defaultRowHeight="16" x14ac:dyDescent="0.2"/>
  <cols>
    <col min="2" max="2" width="18" customWidth="1"/>
  </cols>
  <sheetData>
    <row r="1" spans="1:5" x14ac:dyDescent="0.2">
      <c r="A1" s="1" t="s">
        <v>20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">
      <c r="A2">
        <v>1</v>
      </c>
      <c r="B2">
        <f>Assumptions!B8</f>
        <v>140000000</v>
      </c>
      <c r="C2">
        <f>B2/25</f>
        <v>5600000</v>
      </c>
      <c r="D2">
        <f>B2*0.0525</f>
        <v>7350000</v>
      </c>
      <c r="E2">
        <f>B2-C2</f>
        <v>134400000</v>
      </c>
    </row>
    <row r="3" spans="1:5" x14ac:dyDescent="0.2">
      <c r="A3">
        <v>2</v>
      </c>
      <c r="B3">
        <f>E2</f>
        <v>134400000</v>
      </c>
      <c r="C3">
        <v>5600000</v>
      </c>
      <c r="D3">
        <f>B3*0.0525</f>
        <v>7056000</v>
      </c>
      <c r="E3">
        <f>B3-C3</f>
        <v>128800000</v>
      </c>
    </row>
    <row r="4" spans="1:5" x14ac:dyDescent="0.2">
      <c r="A4">
        <v>3</v>
      </c>
      <c r="B4">
        <f t="shared" ref="B4:B26" si="0">E3</f>
        <v>128800000</v>
      </c>
      <c r="C4">
        <v>5600000</v>
      </c>
      <c r="D4">
        <f t="shared" ref="D4:D26" si="1">B4*0.0525</f>
        <v>6762000</v>
      </c>
      <c r="E4">
        <f t="shared" ref="E4:E26" si="2">B4-C4</f>
        <v>123200000</v>
      </c>
    </row>
    <row r="5" spans="1:5" x14ac:dyDescent="0.2">
      <c r="A5">
        <v>4</v>
      </c>
      <c r="B5">
        <f t="shared" si="0"/>
        <v>123200000</v>
      </c>
      <c r="C5">
        <v>5600000</v>
      </c>
      <c r="D5">
        <f t="shared" si="1"/>
        <v>6468000</v>
      </c>
      <c r="E5">
        <f t="shared" si="2"/>
        <v>117600000</v>
      </c>
    </row>
    <row r="6" spans="1:5" x14ac:dyDescent="0.2">
      <c r="A6">
        <v>5</v>
      </c>
      <c r="B6">
        <f t="shared" si="0"/>
        <v>117600000</v>
      </c>
      <c r="C6">
        <v>5600000</v>
      </c>
      <c r="D6">
        <f t="shared" si="1"/>
        <v>6174000</v>
      </c>
      <c r="E6">
        <f t="shared" si="2"/>
        <v>112000000</v>
      </c>
    </row>
    <row r="7" spans="1:5" x14ac:dyDescent="0.2">
      <c r="A7">
        <v>6</v>
      </c>
      <c r="B7">
        <f t="shared" si="0"/>
        <v>112000000</v>
      </c>
      <c r="C7">
        <v>5600000</v>
      </c>
      <c r="D7">
        <f t="shared" si="1"/>
        <v>5880000</v>
      </c>
      <c r="E7">
        <f t="shared" si="2"/>
        <v>106400000</v>
      </c>
    </row>
    <row r="8" spans="1:5" x14ac:dyDescent="0.2">
      <c r="A8">
        <v>7</v>
      </c>
      <c r="B8">
        <f t="shared" si="0"/>
        <v>106400000</v>
      </c>
      <c r="C8">
        <v>5600000</v>
      </c>
      <c r="D8">
        <f t="shared" si="1"/>
        <v>5586000</v>
      </c>
      <c r="E8">
        <f t="shared" si="2"/>
        <v>100800000</v>
      </c>
    </row>
    <row r="9" spans="1:5" x14ac:dyDescent="0.2">
      <c r="A9">
        <v>8</v>
      </c>
      <c r="B9">
        <f t="shared" si="0"/>
        <v>100800000</v>
      </c>
      <c r="C9">
        <v>5600000</v>
      </c>
      <c r="D9">
        <f t="shared" si="1"/>
        <v>5292000</v>
      </c>
      <c r="E9">
        <f t="shared" si="2"/>
        <v>95200000</v>
      </c>
    </row>
    <row r="10" spans="1:5" x14ac:dyDescent="0.2">
      <c r="A10">
        <v>9</v>
      </c>
      <c r="B10">
        <f t="shared" si="0"/>
        <v>95200000</v>
      </c>
      <c r="C10">
        <v>5600000</v>
      </c>
      <c r="D10">
        <f t="shared" si="1"/>
        <v>4998000</v>
      </c>
      <c r="E10">
        <f t="shared" si="2"/>
        <v>89600000</v>
      </c>
    </row>
    <row r="11" spans="1:5" x14ac:dyDescent="0.2">
      <c r="A11">
        <v>10</v>
      </c>
      <c r="B11">
        <f t="shared" si="0"/>
        <v>89600000</v>
      </c>
      <c r="C11">
        <v>5600000</v>
      </c>
      <c r="D11">
        <f t="shared" si="1"/>
        <v>4704000</v>
      </c>
      <c r="E11">
        <f t="shared" si="2"/>
        <v>84000000</v>
      </c>
    </row>
    <row r="12" spans="1:5" x14ac:dyDescent="0.2">
      <c r="A12">
        <v>11</v>
      </c>
      <c r="B12">
        <f t="shared" si="0"/>
        <v>84000000</v>
      </c>
      <c r="C12">
        <v>5600000</v>
      </c>
      <c r="D12">
        <f t="shared" si="1"/>
        <v>4410000</v>
      </c>
      <c r="E12">
        <f t="shared" si="2"/>
        <v>78400000</v>
      </c>
    </row>
    <row r="13" spans="1:5" x14ac:dyDescent="0.2">
      <c r="A13">
        <v>12</v>
      </c>
      <c r="B13">
        <f t="shared" si="0"/>
        <v>78400000</v>
      </c>
      <c r="C13">
        <v>5600000</v>
      </c>
      <c r="D13">
        <f t="shared" si="1"/>
        <v>4116000</v>
      </c>
      <c r="E13">
        <f t="shared" si="2"/>
        <v>72800000</v>
      </c>
    </row>
    <row r="14" spans="1:5" x14ac:dyDescent="0.2">
      <c r="A14">
        <v>13</v>
      </c>
      <c r="B14">
        <f t="shared" si="0"/>
        <v>72800000</v>
      </c>
      <c r="C14">
        <v>5600000</v>
      </c>
      <c r="D14">
        <f t="shared" si="1"/>
        <v>3822000</v>
      </c>
      <c r="E14">
        <f t="shared" si="2"/>
        <v>67200000</v>
      </c>
    </row>
    <row r="15" spans="1:5" x14ac:dyDescent="0.2">
      <c r="A15">
        <v>14</v>
      </c>
      <c r="B15">
        <f t="shared" si="0"/>
        <v>67200000</v>
      </c>
      <c r="C15">
        <v>5600000</v>
      </c>
      <c r="D15">
        <f t="shared" si="1"/>
        <v>3528000</v>
      </c>
      <c r="E15">
        <f t="shared" si="2"/>
        <v>61600000</v>
      </c>
    </row>
    <row r="16" spans="1:5" x14ac:dyDescent="0.2">
      <c r="A16">
        <v>15</v>
      </c>
      <c r="B16">
        <f t="shared" si="0"/>
        <v>61600000</v>
      </c>
      <c r="C16">
        <v>5600000</v>
      </c>
      <c r="D16">
        <f t="shared" si="1"/>
        <v>3234000</v>
      </c>
      <c r="E16">
        <f t="shared" si="2"/>
        <v>56000000</v>
      </c>
    </row>
    <row r="17" spans="1:5" x14ac:dyDescent="0.2">
      <c r="A17">
        <v>16</v>
      </c>
      <c r="B17">
        <f t="shared" si="0"/>
        <v>56000000</v>
      </c>
      <c r="C17">
        <v>5600000</v>
      </c>
      <c r="D17">
        <f t="shared" si="1"/>
        <v>2940000</v>
      </c>
      <c r="E17">
        <f t="shared" si="2"/>
        <v>50400000</v>
      </c>
    </row>
    <row r="18" spans="1:5" x14ac:dyDescent="0.2">
      <c r="A18">
        <v>17</v>
      </c>
      <c r="B18">
        <f t="shared" si="0"/>
        <v>50400000</v>
      </c>
      <c r="C18">
        <v>5600000</v>
      </c>
      <c r="D18">
        <f t="shared" si="1"/>
        <v>2646000</v>
      </c>
      <c r="E18">
        <f t="shared" si="2"/>
        <v>44800000</v>
      </c>
    </row>
    <row r="19" spans="1:5" x14ac:dyDescent="0.2">
      <c r="A19">
        <v>18</v>
      </c>
      <c r="B19">
        <f t="shared" si="0"/>
        <v>44800000</v>
      </c>
      <c r="C19">
        <v>5600000</v>
      </c>
      <c r="D19">
        <f t="shared" si="1"/>
        <v>2352000</v>
      </c>
      <c r="E19">
        <f t="shared" si="2"/>
        <v>39200000</v>
      </c>
    </row>
    <row r="20" spans="1:5" x14ac:dyDescent="0.2">
      <c r="A20">
        <v>19</v>
      </c>
      <c r="B20">
        <f t="shared" si="0"/>
        <v>39200000</v>
      </c>
      <c r="C20">
        <v>5600000</v>
      </c>
      <c r="D20">
        <f t="shared" si="1"/>
        <v>2058000</v>
      </c>
      <c r="E20">
        <f t="shared" si="2"/>
        <v>33600000</v>
      </c>
    </row>
    <row r="21" spans="1:5" x14ac:dyDescent="0.2">
      <c r="A21">
        <v>20</v>
      </c>
      <c r="B21">
        <f t="shared" si="0"/>
        <v>33600000</v>
      </c>
      <c r="C21">
        <v>5600000</v>
      </c>
      <c r="D21">
        <f t="shared" si="1"/>
        <v>1764000</v>
      </c>
      <c r="E21">
        <f t="shared" si="2"/>
        <v>28000000</v>
      </c>
    </row>
    <row r="22" spans="1:5" x14ac:dyDescent="0.2">
      <c r="A22">
        <v>21</v>
      </c>
      <c r="B22">
        <f t="shared" si="0"/>
        <v>28000000</v>
      </c>
      <c r="C22">
        <v>5600000</v>
      </c>
      <c r="D22">
        <f t="shared" si="1"/>
        <v>1470000</v>
      </c>
      <c r="E22">
        <f t="shared" si="2"/>
        <v>22400000</v>
      </c>
    </row>
    <row r="23" spans="1:5" x14ac:dyDescent="0.2">
      <c r="A23">
        <v>22</v>
      </c>
      <c r="B23">
        <f t="shared" si="0"/>
        <v>22400000</v>
      </c>
      <c r="C23">
        <v>5600000</v>
      </c>
      <c r="D23">
        <f t="shared" si="1"/>
        <v>1176000</v>
      </c>
      <c r="E23">
        <f t="shared" si="2"/>
        <v>16800000</v>
      </c>
    </row>
    <row r="24" spans="1:5" x14ac:dyDescent="0.2">
      <c r="A24">
        <v>23</v>
      </c>
      <c r="B24">
        <f t="shared" si="0"/>
        <v>16800000</v>
      </c>
      <c r="C24">
        <v>5600000</v>
      </c>
      <c r="D24">
        <f t="shared" si="1"/>
        <v>882000</v>
      </c>
      <c r="E24">
        <f t="shared" si="2"/>
        <v>11200000</v>
      </c>
    </row>
    <row r="25" spans="1:5" x14ac:dyDescent="0.2">
      <c r="A25">
        <v>24</v>
      </c>
      <c r="B25">
        <f t="shared" si="0"/>
        <v>11200000</v>
      </c>
      <c r="C25">
        <v>5600000</v>
      </c>
      <c r="D25">
        <f t="shared" si="1"/>
        <v>588000</v>
      </c>
      <c r="E25">
        <f t="shared" si="2"/>
        <v>5600000</v>
      </c>
    </row>
    <row r="26" spans="1:5" x14ac:dyDescent="0.2">
      <c r="A26">
        <v>25</v>
      </c>
      <c r="B26">
        <f t="shared" si="0"/>
        <v>5600000</v>
      </c>
      <c r="C26">
        <v>5600000</v>
      </c>
      <c r="D26">
        <f t="shared" si="1"/>
        <v>294000</v>
      </c>
      <c r="E26">
        <f t="shared" si="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376C-2F70-0640-8E49-3FD392DF911B}">
  <dimension ref="A1:D26"/>
  <sheetViews>
    <sheetView workbookViewId="0">
      <selection activeCell="F23" sqref="F23"/>
    </sheetView>
  </sheetViews>
  <sheetFormatPr baseColWidth="10" defaultRowHeight="16" x14ac:dyDescent="0.2"/>
  <sheetData>
    <row r="1" spans="1:4" x14ac:dyDescent="0.2">
      <c r="A1" t="s">
        <v>20</v>
      </c>
      <c r="B1" t="s">
        <v>29</v>
      </c>
      <c r="C1" t="s">
        <v>28</v>
      </c>
      <c r="D1" t="s">
        <v>30</v>
      </c>
    </row>
    <row r="2" spans="1:4" x14ac:dyDescent="0.2">
      <c r="A2">
        <v>1</v>
      </c>
      <c r="B2">
        <f>'Debt Schedule'!C2+'Debt Schedule'!D2</f>
        <v>12950000</v>
      </c>
      <c r="C2">
        <f>'Cash Flow'!C2</f>
        <v>16911180</v>
      </c>
      <c r="D2">
        <f>C2/B2</f>
        <v>1.3058826254826255</v>
      </c>
    </row>
    <row r="3" spans="1:4" x14ac:dyDescent="0.2">
      <c r="A3">
        <v>2</v>
      </c>
      <c r="B3">
        <f>'Debt Schedule'!C3+'Debt Schedule'!D3</f>
        <v>12656000</v>
      </c>
      <c r="C3">
        <f>'Cash Flow'!C3</f>
        <v>17418515.399999999</v>
      </c>
      <c r="D3">
        <f t="shared" ref="D3:D26" si="0">C3/B3</f>
        <v>1.3763049462705435</v>
      </c>
    </row>
    <row r="4" spans="1:4" x14ac:dyDescent="0.2">
      <c r="A4">
        <v>3</v>
      </c>
      <c r="B4">
        <f>'Debt Schedule'!C4+'Debt Schedule'!D4</f>
        <v>12362000</v>
      </c>
      <c r="C4">
        <f>'Cash Flow'!C4</f>
        <v>17941070.862</v>
      </c>
      <c r="D4">
        <f t="shared" si="0"/>
        <v>1.451308110499919</v>
      </c>
    </row>
    <row r="5" spans="1:4" x14ac:dyDescent="0.2">
      <c r="A5">
        <v>4</v>
      </c>
      <c r="B5">
        <f>'Debt Schedule'!C5+'Debt Schedule'!D5</f>
        <v>12068000</v>
      </c>
      <c r="C5">
        <f>'Cash Flow'!C5</f>
        <v>18479302.987860002</v>
      </c>
      <c r="D5">
        <f t="shared" si="0"/>
        <v>1.5312647487454427</v>
      </c>
    </row>
    <row r="6" spans="1:4" x14ac:dyDescent="0.2">
      <c r="A6">
        <v>5</v>
      </c>
      <c r="B6">
        <f>'Debt Schedule'!C6+'Debt Schedule'!D6</f>
        <v>11774000</v>
      </c>
      <c r="C6">
        <f>'Cash Flow'!C6</f>
        <v>19033682.077495802</v>
      </c>
      <c r="D6">
        <f t="shared" si="0"/>
        <v>1.6165858737468832</v>
      </c>
    </row>
    <row r="7" spans="1:4" x14ac:dyDescent="0.2">
      <c r="A7">
        <v>6</v>
      </c>
      <c r="B7">
        <f>'Debt Schedule'!C7+'Debt Schedule'!D7</f>
        <v>11480000</v>
      </c>
      <c r="C7">
        <f>'Cash Flow'!C7</f>
        <v>19604692.539820675</v>
      </c>
      <c r="D7">
        <f t="shared" si="0"/>
        <v>1.7077258309948322</v>
      </c>
    </row>
    <row r="8" spans="1:4" x14ac:dyDescent="0.2">
      <c r="A8">
        <v>7</v>
      </c>
      <c r="B8">
        <f>'Debt Schedule'!C8+'Debt Schedule'!D8</f>
        <v>11186000</v>
      </c>
      <c r="C8">
        <f>'Cash Flow'!C8</f>
        <v>20192833.316015296</v>
      </c>
      <c r="D8">
        <f t="shared" si="0"/>
        <v>1.8051880311116839</v>
      </c>
    </row>
    <row r="9" spans="1:4" x14ac:dyDescent="0.2">
      <c r="A9">
        <v>8</v>
      </c>
      <c r="B9">
        <f>'Debt Schedule'!C9+'Debt Schedule'!D9</f>
        <v>10892000</v>
      </c>
      <c r="C9">
        <f>'Cash Flow'!C9</f>
        <v>20798618.315495756</v>
      </c>
      <c r="D9">
        <f t="shared" si="0"/>
        <v>1.9095316117788979</v>
      </c>
    </row>
    <row r="10" spans="1:4" x14ac:dyDescent="0.2">
      <c r="A10">
        <v>9</v>
      </c>
      <c r="B10">
        <f>'Debt Schedule'!C10+'Debt Schedule'!D10</f>
        <v>10598000</v>
      </c>
      <c r="C10">
        <f>'Cash Flow'!C10</f>
        <v>21422576.864960629</v>
      </c>
      <c r="D10">
        <f t="shared" si="0"/>
        <v>2.0213792097528431</v>
      </c>
    </row>
    <row r="11" spans="1:4" x14ac:dyDescent="0.2">
      <c r="A11">
        <v>10</v>
      </c>
      <c r="B11">
        <f>'Debt Schedule'!C11+'Debt Schedule'!D11</f>
        <v>10304000</v>
      </c>
      <c r="C11">
        <f>'Cash Flow'!C11</f>
        <v>22065254.170909446</v>
      </c>
      <c r="D11">
        <f t="shared" si="0"/>
        <v>2.1414260647233547</v>
      </c>
    </row>
    <row r="12" spans="1:4" x14ac:dyDescent="0.2">
      <c r="A12">
        <v>11</v>
      </c>
      <c r="B12">
        <f>'Debt Schedule'!C12+'Debt Schedule'!D12</f>
        <v>10010000</v>
      </c>
      <c r="C12">
        <f>'Cash Flow'!C12</f>
        <v>22727211.796036728</v>
      </c>
      <c r="D12">
        <f t="shared" si="0"/>
        <v>2.2704507288747982</v>
      </c>
    </row>
    <row r="13" spans="1:4" x14ac:dyDescent="0.2">
      <c r="A13">
        <v>12</v>
      </c>
      <c r="B13">
        <f>'Debt Schedule'!C13+'Debt Schedule'!D13</f>
        <v>9716000</v>
      </c>
      <c r="C13">
        <f>'Cash Flow'!C13</f>
        <v>23409028.14991783</v>
      </c>
      <c r="D13">
        <f t="shared" si="0"/>
        <v>2.4093277223052523</v>
      </c>
    </row>
    <row r="14" spans="1:4" x14ac:dyDescent="0.2">
      <c r="A14">
        <v>13</v>
      </c>
      <c r="B14">
        <f>'Debt Schedule'!C14+'Debt Schedule'!D14</f>
        <v>9422000</v>
      </c>
      <c r="C14">
        <f>'Cash Flow'!C14</f>
        <v>24111298.994415365</v>
      </c>
      <c r="D14">
        <f t="shared" si="0"/>
        <v>2.5590425593733142</v>
      </c>
    </row>
    <row r="15" spans="1:4" x14ac:dyDescent="0.2">
      <c r="A15">
        <v>14</v>
      </c>
      <c r="B15">
        <f>'Debt Schedule'!C15+'Debt Schedule'!D15</f>
        <v>9128000</v>
      </c>
      <c r="C15">
        <f>'Cash Flow'!C15</f>
        <v>24834637.964247826</v>
      </c>
      <c r="D15">
        <f t="shared" si="0"/>
        <v>2.7207096805705331</v>
      </c>
    </row>
    <row r="16" spans="1:4" x14ac:dyDescent="0.2">
      <c r="A16">
        <v>15</v>
      </c>
      <c r="B16">
        <f>'Debt Schedule'!C16+'Debt Schedule'!D16</f>
        <v>8834000</v>
      </c>
      <c r="C16">
        <f>'Cash Flow'!C16</f>
        <v>25579677.10317526</v>
      </c>
      <c r="D16">
        <f t="shared" si="0"/>
        <v>2.8955939668525312</v>
      </c>
    </row>
    <row r="17" spans="1:4" x14ac:dyDescent="0.2">
      <c r="A17">
        <v>16</v>
      </c>
      <c r="B17">
        <f>'Debt Schedule'!C17+'Debt Schedule'!D17</f>
        <v>8540000</v>
      </c>
      <c r="C17">
        <f>'Cash Flow'!C17</f>
        <v>26347067.416270517</v>
      </c>
      <c r="D17">
        <f t="shared" si="0"/>
        <v>3.0851366997974843</v>
      </c>
    </row>
    <row r="18" spans="1:4" x14ac:dyDescent="0.2">
      <c r="A18">
        <v>17</v>
      </c>
      <c r="B18">
        <f>'Debt Schedule'!C18+'Debt Schedule'!D18</f>
        <v>8246000</v>
      </c>
      <c r="C18">
        <f>'Cash Flow'!C18</f>
        <v>27137479.438758634</v>
      </c>
      <c r="D18">
        <f t="shared" si="0"/>
        <v>3.2909870772203047</v>
      </c>
    </row>
    <row r="19" spans="1:4" x14ac:dyDescent="0.2">
      <c r="A19">
        <v>18</v>
      </c>
      <c r="B19">
        <f>'Debt Schedule'!C19+'Debt Schedule'!D19</f>
        <v>7952000</v>
      </c>
      <c r="C19">
        <f>'Cash Flow'!C19</f>
        <v>27951603.821921397</v>
      </c>
      <c r="D19">
        <f t="shared" si="0"/>
        <v>3.5150407220726101</v>
      </c>
    </row>
    <row r="20" spans="1:4" x14ac:dyDescent="0.2">
      <c r="A20">
        <v>19</v>
      </c>
      <c r="B20">
        <f>'Debt Schedule'!C20+'Debt Schedule'!D20</f>
        <v>7658000</v>
      </c>
      <c r="C20">
        <f>'Cash Flow'!C20</f>
        <v>28790151.936579037</v>
      </c>
      <c r="D20">
        <f t="shared" si="0"/>
        <v>3.7594870640609868</v>
      </c>
    </row>
    <row r="21" spans="1:4" x14ac:dyDescent="0.2">
      <c r="A21">
        <v>20</v>
      </c>
      <c r="B21">
        <f>'Debt Schedule'!C21+'Debt Schedule'!D21</f>
        <v>7364000</v>
      </c>
      <c r="C21">
        <f>'Cash Flow'!C21</f>
        <v>29653856.494676411</v>
      </c>
      <c r="D21">
        <f t="shared" si="0"/>
        <v>4.0268680736931577</v>
      </c>
    </row>
    <row r="22" spans="1:4" x14ac:dyDescent="0.2">
      <c r="A22">
        <v>21</v>
      </c>
      <c r="B22">
        <f>'Debt Schedule'!C22+'Debt Schedule'!D22</f>
        <v>7070000</v>
      </c>
      <c r="C22">
        <f>'Cash Flow'!C22</f>
        <v>30543472.189516708</v>
      </c>
      <c r="D22">
        <f t="shared" si="0"/>
        <v>4.3201516533969881</v>
      </c>
    </row>
    <row r="23" spans="1:4" x14ac:dyDescent="0.2">
      <c r="A23">
        <v>22</v>
      </c>
      <c r="B23">
        <f>'Debt Schedule'!C23+'Debt Schedule'!D23</f>
        <v>6776000</v>
      </c>
      <c r="C23">
        <f>'Cash Flow'!C23</f>
        <v>31459776.355202209</v>
      </c>
      <c r="D23">
        <f t="shared" si="0"/>
        <v>4.642824137426536</v>
      </c>
    </row>
    <row r="24" spans="1:4" x14ac:dyDescent="0.2">
      <c r="A24">
        <v>23</v>
      </c>
      <c r="B24">
        <f>'Debt Schedule'!C24+'Debt Schedule'!D24</f>
        <v>6482000</v>
      </c>
      <c r="C24">
        <f>'Cash Flow'!C24</f>
        <v>32403569.645858277</v>
      </c>
      <c r="D24">
        <f t="shared" si="0"/>
        <v>4.9990079675807273</v>
      </c>
    </row>
    <row r="25" spans="1:4" x14ac:dyDescent="0.2">
      <c r="A25">
        <v>24</v>
      </c>
      <c r="B25">
        <f>'Debt Schedule'!C25+'Debt Schedule'!D25</f>
        <v>6188000</v>
      </c>
      <c r="C25">
        <f>'Cash Flow'!C25</f>
        <v>33375676.735234026</v>
      </c>
      <c r="D25">
        <f t="shared" si="0"/>
        <v>5.3936129177818399</v>
      </c>
    </row>
    <row r="26" spans="1:4" x14ac:dyDescent="0.2">
      <c r="A26">
        <v>25</v>
      </c>
      <c r="B26">
        <f>'Debt Schedule'!C26+'Debt Schedule'!D26</f>
        <v>5894000</v>
      </c>
      <c r="C26">
        <f>'Cash Flow'!C26</f>
        <v>34376947.03729105</v>
      </c>
      <c r="D26">
        <f t="shared" si="0"/>
        <v>5.8325325818274605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3E0-2A6C-2A4E-9E20-36287DB69B44}">
  <dimension ref="A1:H4"/>
  <sheetViews>
    <sheetView tabSelected="1" workbookViewId="0">
      <selection activeCell="F8" sqref="F8"/>
    </sheetView>
  </sheetViews>
  <sheetFormatPr baseColWidth="10" defaultRowHeight="16" x14ac:dyDescent="0.2"/>
  <cols>
    <col min="6" max="6" width="17.5" customWidth="1"/>
    <col min="7" max="7" width="21.5" customWidth="1"/>
  </cols>
  <sheetData>
    <row r="1" spans="1:8" x14ac:dyDescent="0.2">
      <c r="A1" s="1" t="s">
        <v>0</v>
      </c>
      <c r="B1" s="1" t="s">
        <v>31</v>
      </c>
      <c r="C1" s="1" t="s">
        <v>32</v>
      </c>
      <c r="D1" s="1" t="s">
        <v>33</v>
      </c>
      <c r="F1" s="1" t="s">
        <v>34</v>
      </c>
      <c r="G1" s="1" t="s">
        <v>35</v>
      </c>
    </row>
    <row r="2" spans="1:8" x14ac:dyDescent="0.2">
      <c r="A2" s="2" t="s">
        <v>3</v>
      </c>
      <c r="B2" s="3">
        <v>0.65</v>
      </c>
      <c r="C2" s="3">
        <v>0.78</v>
      </c>
      <c r="D2" s="3">
        <v>0.85</v>
      </c>
      <c r="F2" s="7" t="s">
        <v>32</v>
      </c>
      <c r="G2" s="2" t="s">
        <v>3</v>
      </c>
      <c r="H2">
        <f>IF($F$2="Downside",B2,
IF($F$2="Base",C2,D2))</f>
        <v>0.78</v>
      </c>
    </row>
    <row r="3" spans="1:8" x14ac:dyDescent="0.2">
      <c r="A3" s="2" t="s">
        <v>6</v>
      </c>
      <c r="B3" s="3">
        <v>0.01</v>
      </c>
      <c r="C3" s="3">
        <v>0.03</v>
      </c>
      <c r="D3" s="3">
        <v>0.05</v>
      </c>
      <c r="G3" s="2" t="s">
        <v>6</v>
      </c>
      <c r="H3">
        <f>IF($F$2="Downside",B3,
IF($F$2="Base",C3,D3))</f>
        <v>0.03</v>
      </c>
    </row>
    <row r="4" spans="1:8" x14ac:dyDescent="0.2">
      <c r="A4" s="2" t="s">
        <v>7</v>
      </c>
      <c r="B4" s="3">
        <v>0.15</v>
      </c>
      <c r="C4" s="3">
        <v>0.18</v>
      </c>
      <c r="D4" s="3">
        <v>0.2</v>
      </c>
      <c r="G4" s="2" t="s">
        <v>7</v>
      </c>
    </row>
  </sheetData>
  <scenarios current="0" show="0">
    <scenario name="Base" locked="1" count="3" user="Zach Ramlawi" comment="Created by Zach Ramlawi on 7/12/2026">
      <inputCells r="C2" val="0.78" numFmtId="9"/>
      <inputCells r="C3" val="0.03" numFmtId="9"/>
      <inputCells r="C4" val="0.18" numFmtId="9"/>
    </scenario>
    <scenario name="Downside" locked="1" count="3" user="Zach Ramlawi" comment="Created by Zach Ramlawi on 7/12/2026">
      <inputCells r="B2" val="0.65" numFmtId="9"/>
      <inputCells r="B3" val="0.01" numFmtId="9"/>
      <inputCells r="B4" val="0.15" numFmtId="9"/>
    </scenario>
    <scenario name="Upside" locked="1" count="3" user="Zach Ramlawi" comment="Created by Zach Ramlawi on 7/12/2026">
      <inputCells r="D2" val="0.85" numFmtId="9"/>
      <inputCells r="D3" val="0.05" numFmtId="9"/>
      <inputCells r="D4" val="0.2" numFmtId="9"/>
    </scenario>
  </scenarios>
  <dataValidations count="1">
    <dataValidation type="list" allowBlank="1" showInputMessage="1" showErrorMessage="1" sqref="F2" xr:uid="{D3ED3AC7-A3AA-3C49-A68E-F0B305641075}">
      <formula1>"Downside, Base, Upside"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Sources Used</vt:lpstr>
      <vt:lpstr>Revenue</vt:lpstr>
      <vt:lpstr>Operating Cost</vt:lpstr>
      <vt:lpstr>Cash Flow</vt:lpstr>
      <vt:lpstr>Debt Schedule</vt:lpstr>
      <vt:lpstr>DSCR</vt:lpstr>
      <vt:lpstr>Scenarios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Ramlawi</dc:creator>
  <cp:lastModifiedBy>Zach Ramlawi</cp:lastModifiedBy>
  <dcterms:created xsi:type="dcterms:W3CDTF">2026-07-11T02:40:20Z</dcterms:created>
  <dcterms:modified xsi:type="dcterms:W3CDTF">2026-08-18T22:58:42Z</dcterms:modified>
</cp:coreProperties>
</file>